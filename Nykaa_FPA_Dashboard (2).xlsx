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d.docs.live.net/06D7651E1A55D303/Documents/"/>
    </mc:Choice>
  </mc:AlternateContent>
  <xr:revisionPtr revIDLastSave="0" documentId="8_{A867C3D2-3F01-45F7-8568-3894F4181A44}" xr6:coauthVersionLast="47" xr6:coauthVersionMax="47" xr10:uidLastSave="{00000000-0000-0000-0000-000000000000}"/>
  <bookViews>
    <workbookView xWindow="-110" yWindow="-110" windowWidth="19420" windowHeight="12220" tabRatio="500" xr2:uid="{00000000-000D-0000-FFFF-FFFF00000000}"/>
  </bookViews>
  <sheets>
    <sheet name="Dashboard" sheetId="1" r:id="rId1"/>
    <sheet name="Actuals" sheetId="2" r:id="rId2"/>
    <sheet name="Budget vs Actual" sheetId="3" r:id="rId3"/>
    <sheet name="Segments" sheetId="4" r:id="rId4"/>
  </sheets>
  <definedNames>
    <definedName name="_xlnm.Print_Area" localSheetId="1">Actuals!$A$1:$S$30</definedName>
    <definedName name="_xlnm.Print_Area" localSheetId="2">'Budget vs Actual'!$A$1:$S$30</definedName>
    <definedName name="_xlnm.Print_Area" localSheetId="0">Dashboard!$A$1:$H$15</definedName>
    <definedName name="_xlnm.Print_Area" localSheetId="3">Segments!$A$1:$M$20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1" l="1"/>
  <c r="D8" i="1"/>
  <c r="F8" i="1"/>
  <c r="D18" i="3"/>
  <c r="D17" i="3"/>
  <c r="D16" i="3"/>
  <c r="D15" i="3"/>
  <c r="D10" i="3"/>
  <c r="E10" i="3" s="1"/>
  <c r="F10" i="3" s="1"/>
  <c r="C10" i="3"/>
  <c r="C18" i="3" s="1"/>
  <c r="D9" i="3"/>
  <c r="E9" i="3" s="1"/>
  <c r="F9" i="3" s="1"/>
  <c r="C9" i="3"/>
  <c r="C17" i="3" s="1"/>
  <c r="D8" i="3"/>
  <c r="E8" i="3" s="1"/>
  <c r="F8" i="3" s="1"/>
  <c r="C8" i="3"/>
  <c r="C16" i="3" s="1"/>
  <c r="D7" i="3"/>
  <c r="E7" i="3" s="1"/>
  <c r="F7" i="3" s="1"/>
  <c r="C7" i="3"/>
  <c r="C15" i="3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G18" i="3" l="1"/>
  <c r="E18" i="3"/>
  <c r="F18" i="3" s="1"/>
  <c r="G17" i="3"/>
  <c r="E17" i="3"/>
  <c r="F17" i="3" s="1"/>
  <c r="G16" i="3"/>
  <c r="E16" i="3"/>
  <c r="F16" i="3" s="1"/>
  <c r="G15" i="3"/>
  <c r="E15" i="3"/>
  <c r="F15" i="3" s="1"/>
</calcChain>
</file>

<file path=xl/sharedStrings.xml><?xml version="1.0" encoding="utf-8"?>
<sst xmlns="http://schemas.openxmlformats.org/spreadsheetml/2006/main" count="71" uniqueCount="53">
  <si>
    <t>Nykaa (FSN E-Commerce Ventures) — FP&amp;A Dashboard</t>
  </si>
  <si>
    <t>FY24 – FY27  |  Data: screener.in  |  Prepared as an independent FP&amp;A analysis exercise</t>
  </si>
  <si>
    <t>Select Fiscal Year:</t>
  </si>
  <si>
    <t>FY26</t>
  </si>
  <si>
    <t>Avg. Quarterly Revenue (₹ Cr)</t>
  </si>
  <si>
    <t>Avg. EBITDA Margin</t>
  </si>
  <si>
    <t>Total Revenue (₹ Cr)</t>
  </si>
  <si>
    <t>Nykaa (FSN E-Commerce) — Quarterly Actuals</t>
  </si>
  <si>
    <t>Source: screener.in — Nykaa consolidated quarterly results (₹ Crore)</t>
  </si>
  <si>
    <t>Quarter</t>
  </si>
  <si>
    <t>Fiscal Year</t>
  </si>
  <si>
    <t>Revenue (₹ Cr)</t>
  </si>
  <si>
    <t>Expenses (₹ Cr)</t>
  </si>
  <si>
    <t>EBITDA (₹ Cr)</t>
  </si>
  <si>
    <t>EBITDA Margin %</t>
  </si>
  <si>
    <t>Jun 2023</t>
  </si>
  <si>
    <t>FY24</t>
  </si>
  <si>
    <t>Sep 2023</t>
  </si>
  <si>
    <t>Dec 2023</t>
  </si>
  <si>
    <t>Mar 2024</t>
  </si>
  <si>
    <t>Jun 2024</t>
  </si>
  <si>
    <t>FY25</t>
  </si>
  <si>
    <t>Sep 2024</t>
  </si>
  <si>
    <t>Dec 2024</t>
  </si>
  <si>
    <t>Mar 2025</t>
  </si>
  <si>
    <t>Jun 2025</t>
  </si>
  <si>
    <t>Sep 2025</t>
  </si>
  <si>
    <t>Dec 2025</t>
  </si>
  <si>
    <t>Mar 2026</t>
  </si>
  <si>
    <t>Jun 2026</t>
  </si>
  <si>
    <t>FY27</t>
  </si>
  <si>
    <t>Budget vs. Actual — FY26 Quarterly Variance</t>
  </si>
  <si>
    <t>Budget assumption: Revenue budgeted 5% below actual; Expenses budgeted at 93% cost-to-revenue ratio (see report for methodology)</t>
  </si>
  <si>
    <t>Revenue</t>
  </si>
  <si>
    <t>Budgeted Revenue</t>
  </si>
  <si>
    <t>Actual Revenue</t>
  </si>
  <si>
    <t>Variance (₹)</t>
  </si>
  <si>
    <t>Variance (%)</t>
  </si>
  <si>
    <t>Q1 FY26</t>
  </si>
  <si>
    <t>Q2 FY26</t>
  </si>
  <si>
    <t>Q3 FY26</t>
  </si>
  <si>
    <t>Q4 FY26</t>
  </si>
  <si>
    <t>Expenses</t>
  </si>
  <si>
    <t>Budgeted Expenses</t>
  </si>
  <si>
    <t>Actual Expenses</t>
  </si>
  <si>
    <t>Actual Expense Ratio</t>
  </si>
  <si>
    <t>Revenue Mix by Segment</t>
  </si>
  <si>
    <t>Approximate FY25 mix, based on Nykaa investor presentations (Beauty &amp; Personal Care vs Fashion)</t>
  </si>
  <si>
    <t>Segment</t>
  </si>
  <si>
    <t>Revenue Share (%)</t>
  </si>
  <si>
    <t>Beauty &amp; Personal Care (BPC)</t>
  </si>
  <si>
    <t>Fashion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</si>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</sst>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%;\-0.0%"/>
  </numFmts>
  <fonts count="16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i/>
      <sz val="9"/>
      <color rgb="FF666666"/>
      <name val="Calibri"/>
      <family val="2"/>
    </font>
    <font>
      <b/>
      <sz val="20"/>
      <color rgb="FF0B2A4A"/>
      <name val="Calibri"/>
      <family val="2"/>
    </font>
    <font>
      <b/>
      <sz val="20"/>
      <color rgb="FF0B2A4A"/>
      <name val="Times New Roman"/>
      <family val="1"/>
    </font>
    <font>
      <sz val="11"/>
      <color theme="1"/>
      <name val="Times New Roman"/>
      <family val="1"/>
    </font>
    <font>
      <i/>
      <sz val="9"/>
      <color rgb="FF666666"/>
      <name val="Times New Roman"/>
      <family val="1"/>
    </font>
    <font>
      <b/>
      <sz val="13"/>
      <color rgb="FF1F6F4A"/>
      <name val="Times New Roman"/>
      <family val="1"/>
    </font>
    <font>
      <b/>
      <sz val="11"/>
      <color rgb="FFFFFFFF"/>
      <name val="Times New Roman"/>
      <family val="1"/>
    </font>
    <font>
      <b/>
      <sz val="13"/>
      <color rgb="FFC97B27"/>
      <name val="Times New Roman"/>
      <family val="1"/>
    </font>
    <font>
      <sz val="11"/>
      <color rgb="FF0000FF"/>
      <name val="Times New Roman"/>
      <family val="1"/>
    </font>
    <font>
      <b/>
      <sz val="22"/>
      <color rgb="FF0B2A4A"/>
      <name val="Times New Roman"/>
      <family val="1"/>
    </font>
    <font>
      <i/>
      <sz val="10"/>
      <color rgb="FF666666"/>
      <name val="Times New Roman"/>
      <family val="1"/>
    </font>
    <font>
      <b/>
      <sz val="11"/>
      <color rgb="FF0B2A4A"/>
      <name val="Times New Roman"/>
      <family val="1"/>
    </font>
    <font>
      <sz val="10"/>
      <color rgb="FFFFFFFF"/>
      <name val="Times New Roman"/>
      <family val="1"/>
    </font>
    <font>
      <b/>
      <sz val="20"/>
      <color rgb="FF1F6F4A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F6F4A"/>
        <bgColor rgb="FF008080"/>
      </patternFill>
    </fill>
    <fill>
      <patternFill patternType="solid">
        <fgColor rgb="FF0B2A4A"/>
        <bgColor rgb="FF333333"/>
      </patternFill>
    </fill>
    <fill>
      <patternFill patternType="solid">
        <fgColor rgb="FFE8F3EE"/>
        <bgColor rgb="FFF9F9F9"/>
      </patternFill>
    </fill>
    <fill>
      <patternFill patternType="solid">
        <fgColor rgb="FFC97B27"/>
        <bgColor rgb="FFFF9900"/>
      </patternFill>
    </fill>
    <fill>
      <patternFill patternType="solid">
        <fgColor rgb="FFFBF0E4"/>
        <bgColor rgb="FFF9F9F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3" fontId="5" fillId="0" borderId="1" xfId="0" applyNumberFormat="1" applyFont="1" applyBorder="1"/>
    <xf numFmtId="165" fontId="5" fillId="0" borderId="1" xfId="0" applyNumberFormat="1" applyFont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165" fontId="5" fillId="4" borderId="1" xfId="0" applyNumberFormat="1" applyFont="1" applyFill="1" applyBorder="1"/>
    <xf numFmtId="0" fontId="9" fillId="0" borderId="0" xfId="0" applyFont="1"/>
    <xf numFmtId="0" fontId="8" fillId="5" borderId="1" xfId="0" applyFont="1" applyFill="1" applyBorder="1" applyAlignment="1">
      <alignment horizontal="center" vertical="center"/>
    </xf>
    <xf numFmtId="164" fontId="5" fillId="0" borderId="1" xfId="0" applyNumberFormat="1" applyFont="1" applyBorder="1"/>
    <xf numFmtId="0" fontId="5" fillId="6" borderId="1" xfId="0" applyFont="1" applyFill="1" applyBorder="1"/>
    <xf numFmtId="3" fontId="5" fillId="6" borderId="1" xfId="0" applyNumberFormat="1" applyFont="1" applyFill="1" applyBorder="1"/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0" fontId="5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5" fillId="4" borderId="1" xfId="0" applyFont="1" applyFill="1" applyBorder="1" applyAlignment="1">
      <alignment horizontal="center"/>
    </xf>
    <xf numFmtId="3" fontId="10" fillId="4" borderId="1" xfId="0" applyNumberFormat="1" applyFont="1" applyFill="1" applyBorder="1"/>
    <xf numFmtId="164" fontId="5" fillId="4" borderId="1" xfId="0" applyNumberFormat="1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8" fillId="2" borderId="0" xfId="0" applyFont="1" applyFill="1" applyAlignment="1">
      <alignment horizontal="center"/>
    </xf>
    <xf numFmtId="0" fontId="6" fillId="0" borderId="0" xfId="0" applyFont="1"/>
    <xf numFmtId="0" fontId="14" fillId="3" borderId="0" xfId="0" applyFont="1" applyFill="1" applyAlignment="1">
      <alignment horizontal="center" vertical="center" wrapText="1"/>
    </xf>
    <xf numFmtId="3" fontId="15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A"/>
      <rgbColor rgb="FFB7C4CE"/>
      <rgbColor rgb="FF878787"/>
      <rgbColor rgb="FF9999FF"/>
      <rgbColor rgb="FF993366"/>
      <rgbColor rgb="FFFBF0E4"/>
      <rgbColor rgb="FFE8F3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D9D9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C97B27"/>
      <rgbColor rgb="FF666666"/>
      <rgbColor rgb="FF969696"/>
      <rgbColor rgb="FF0B2A4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&amp; EBITDA Trend (FY24–FY27)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Actuals!$D$5</c:f>
              <c:strCache>
                <c:ptCount val="1"/>
                <c:pt idx="0">
                  <c:v>Revenue (₹ Cr)</c:v>
                </c:pt>
              </c:strCache>
            </c:strRef>
          </c:tx>
          <c:spPr>
            <a:ln w="24840">
              <a:solidFill>
                <a:srgbClr val="0B2A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Actuals!$B$6:$B$18</c:f>
              <c:strCache>
                <c:ptCount val="13"/>
                <c:pt idx="0">
                  <c:v>Jun 2023</c:v>
                </c:pt>
                <c:pt idx="1">
                  <c:v>Sep 2023</c:v>
                </c:pt>
                <c:pt idx="2">
                  <c:v>Dec 2023</c:v>
                </c:pt>
                <c:pt idx="3">
                  <c:v>Mar 2024</c:v>
                </c:pt>
                <c:pt idx="4">
                  <c:v>Jun 2024</c:v>
                </c:pt>
                <c:pt idx="5">
                  <c:v>Sep 2024</c:v>
                </c:pt>
                <c:pt idx="6">
                  <c:v>Dec 2024</c:v>
                </c:pt>
                <c:pt idx="7">
                  <c:v>Mar 2025</c:v>
                </c:pt>
                <c:pt idx="8">
                  <c:v>Jun 2025</c:v>
                </c:pt>
                <c:pt idx="9">
                  <c:v>Sep 2025</c:v>
                </c:pt>
                <c:pt idx="10">
                  <c:v>Dec 2025</c:v>
                </c:pt>
                <c:pt idx="11">
                  <c:v>Mar 2026</c:v>
                </c:pt>
                <c:pt idx="12">
                  <c:v>Jun 2026</c:v>
                </c:pt>
              </c:strCache>
            </c:strRef>
          </c:cat>
          <c:val>
            <c:numRef>
              <c:f>Actuals!$D$6:$D$18</c:f>
              <c:numCache>
                <c:formatCode>#,##0</c:formatCode>
                <c:ptCount val="13"/>
                <c:pt idx="0">
                  <c:v>1422</c:v>
                </c:pt>
                <c:pt idx="1">
                  <c:v>1507</c:v>
                </c:pt>
                <c:pt idx="2">
                  <c:v>1789</c:v>
                </c:pt>
                <c:pt idx="3">
                  <c:v>1668</c:v>
                </c:pt>
                <c:pt idx="4">
                  <c:v>1746</c:v>
                </c:pt>
                <c:pt idx="5">
                  <c:v>1875</c:v>
                </c:pt>
                <c:pt idx="6">
                  <c:v>2267</c:v>
                </c:pt>
                <c:pt idx="7">
                  <c:v>2062</c:v>
                </c:pt>
                <c:pt idx="8">
                  <c:v>2155</c:v>
                </c:pt>
                <c:pt idx="9">
                  <c:v>2346</c:v>
                </c:pt>
                <c:pt idx="10">
                  <c:v>2873</c:v>
                </c:pt>
                <c:pt idx="11">
                  <c:v>2648</c:v>
                </c:pt>
                <c:pt idx="12">
                  <c:v>2782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C-49BA-9153-5E8F922FF649}"/>
            </c:ext>
          </c:extLst>
        </c:ser>
        <c:ser>
          <c:idx val="1"/>
          <c:order val="1"/>
          <c:tx>
            <c:strRef>
              <c:f>Actuals!$F$5</c:f>
              <c:strCache>
                <c:ptCount val="1"/>
                <c:pt idx="0">
                  <c:v>EBITDA (₹ Cr)</c:v>
                </c:pt>
              </c:strCache>
            </c:strRef>
          </c:tx>
          <c:spPr>
            <a:ln w="24840">
              <a:solidFill>
                <a:srgbClr val="1F6F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Actuals!$B$6:$B$18</c:f>
              <c:strCache>
                <c:ptCount val="13"/>
                <c:pt idx="0">
                  <c:v>Jun 2023</c:v>
                </c:pt>
                <c:pt idx="1">
                  <c:v>Sep 2023</c:v>
                </c:pt>
                <c:pt idx="2">
                  <c:v>Dec 2023</c:v>
                </c:pt>
                <c:pt idx="3">
                  <c:v>Mar 2024</c:v>
                </c:pt>
                <c:pt idx="4">
                  <c:v>Jun 2024</c:v>
                </c:pt>
                <c:pt idx="5">
                  <c:v>Sep 2024</c:v>
                </c:pt>
                <c:pt idx="6">
                  <c:v>Dec 2024</c:v>
                </c:pt>
                <c:pt idx="7">
                  <c:v>Mar 2025</c:v>
                </c:pt>
                <c:pt idx="8">
                  <c:v>Jun 2025</c:v>
                </c:pt>
                <c:pt idx="9">
                  <c:v>Sep 2025</c:v>
                </c:pt>
                <c:pt idx="10">
                  <c:v>Dec 2025</c:v>
                </c:pt>
                <c:pt idx="11">
                  <c:v>Mar 2026</c:v>
                </c:pt>
                <c:pt idx="12">
                  <c:v>Jun 2026</c:v>
                </c:pt>
              </c:strCache>
            </c:strRef>
          </c:cat>
          <c:val>
            <c:numRef>
              <c:f>Actuals!$F$6:$F$18</c:f>
              <c:numCache>
                <c:formatCode>#,##0</c:formatCode>
                <c:ptCount val="13"/>
                <c:pt idx="0">
                  <c:v>74</c:v>
                </c:pt>
                <c:pt idx="1">
                  <c:v>81</c:v>
                </c:pt>
                <c:pt idx="2">
                  <c:v>99</c:v>
                </c:pt>
                <c:pt idx="3">
                  <c:v>93</c:v>
                </c:pt>
                <c:pt idx="4">
                  <c:v>96</c:v>
                </c:pt>
                <c:pt idx="5">
                  <c:v>104</c:v>
                </c:pt>
                <c:pt idx="6">
                  <c:v>141</c:v>
                </c:pt>
                <c:pt idx="7">
                  <c:v>134</c:v>
                </c:pt>
                <c:pt idx="8">
                  <c:v>141</c:v>
                </c:pt>
                <c:pt idx="9">
                  <c:v>159</c:v>
                </c:pt>
                <c:pt idx="10">
                  <c:v>229</c:v>
                </c:pt>
                <c:pt idx="11">
                  <c:v>223</c:v>
                </c:pt>
                <c:pt idx="12">
                  <c:v>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C-49BA-9153-5E8F922FF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221530"/>
        <c:axId val="25247580"/>
      </c:lineChart>
      <c:catAx>
        <c:axId val="782215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247580"/>
        <c:crosses val="autoZero"/>
        <c:auto val="1"/>
        <c:lblAlgn val="ctr"/>
        <c:lblOffset val="100"/>
        <c:noMultiLvlLbl val="0"/>
      </c:catAx>
      <c:valAx>
        <c:axId val="252475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2215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Expenses: Budget vs Actual (FY26)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vs Actual'!$C$14</c:f>
              <c:strCache>
                <c:ptCount val="1"/>
                <c:pt idx="0">
                  <c:v>Budgeted Expenses</c:v>
                </c:pt>
              </c:strCache>
            </c:strRef>
          </c:tx>
          <c:spPr>
            <a:solidFill>
              <a:srgbClr val="B7C4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Actual'!$B$15:$B$18</c:f>
              <c:strCache>
                <c:ptCount val="4"/>
                <c:pt idx="0">
                  <c:v>Q1 FY26</c:v>
                </c:pt>
                <c:pt idx="1">
                  <c:v>Q2 FY26</c:v>
                </c:pt>
                <c:pt idx="2">
                  <c:v>Q3 FY26</c:v>
                </c:pt>
                <c:pt idx="3">
                  <c:v>Q4 FY26</c:v>
                </c:pt>
              </c:strCache>
            </c:strRef>
          </c:cat>
          <c:val>
            <c:numRef>
              <c:f>'Budget vs Actual'!$C$15:$C$18</c:f>
              <c:numCache>
                <c:formatCode>#,##0</c:formatCode>
                <c:ptCount val="4"/>
                <c:pt idx="0">
                  <c:v>2072.6909999999998</c:v>
                </c:pt>
                <c:pt idx="1">
                  <c:v>2538.2955000000002</c:v>
                </c:pt>
                <c:pt idx="2">
                  <c:v>2339.5079999999998</c:v>
                </c:pt>
                <c:pt idx="3">
                  <c:v>2457.8970000000004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B-4E6A-ACE2-2B17856A9DDF}"/>
            </c:ext>
          </c:extLst>
        </c:ser>
        <c:ser>
          <c:idx val="1"/>
          <c:order val="1"/>
          <c:tx>
            <c:strRef>
              <c:f>'Budget vs Actual'!$D$14</c:f>
              <c:strCache>
                <c:ptCount val="1"/>
                <c:pt idx="0">
                  <c:v>Actual Expenses</c:v>
                </c:pt>
              </c:strCache>
            </c:strRef>
          </c:tx>
          <c:spPr>
            <a:solidFill>
              <a:srgbClr val="C97B2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Actual'!$B$15:$B$18</c:f>
              <c:strCache>
                <c:ptCount val="4"/>
                <c:pt idx="0">
                  <c:v>Q1 FY26</c:v>
                </c:pt>
                <c:pt idx="1">
                  <c:v>Q2 FY26</c:v>
                </c:pt>
                <c:pt idx="2">
                  <c:v>Q3 FY26</c:v>
                </c:pt>
                <c:pt idx="3">
                  <c:v>Q4 FY26</c:v>
                </c:pt>
              </c:strCache>
            </c:strRef>
          </c:cat>
          <c:val>
            <c:numRef>
              <c:f>'Budget vs Actual'!$D$15:$D$18</c:f>
              <c:numCache>
                <c:formatCode>#,##0</c:formatCode>
                <c:ptCount val="4"/>
                <c:pt idx="0">
                  <c:v>2187</c:v>
                </c:pt>
                <c:pt idx="1">
                  <c:v>2644</c:v>
                </c:pt>
                <c:pt idx="2">
                  <c:v>2425</c:v>
                </c:pt>
                <c:pt idx="3">
                  <c:v>2546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CB-4E6A-ACE2-2B17856A9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273343"/>
        <c:axId val="24353510"/>
      </c:barChart>
      <c:catAx>
        <c:axId val="9627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353510"/>
        <c:crosses val="autoZero"/>
        <c:auto val="1"/>
        <c:lblAlgn val="ctr"/>
        <c:lblOffset val="100"/>
        <c:noMultiLvlLbl val="0"/>
      </c:catAx>
      <c:valAx>
        <c:axId val="243535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2733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Mix: Beauty vs Fashion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Segments!$C$5</c:f>
              <c:strCache>
                <c:ptCount val="1"/>
                <c:pt idx="0">
                  <c:v>Revenue Share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B2A4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AED-49D4-8950-53B3FEBE507B}"/>
              </c:ext>
            </c:extLst>
          </c:dPt>
          <c:dPt>
            <c:idx val="1"/>
            <c:bubble3D val="0"/>
            <c:spPr>
              <a:solidFill>
                <a:srgbClr val="1F6F4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AED-49D4-8950-53B3FEBE507B}"/>
              </c:ext>
            </c:extLst>
          </c:dPt>
          <c:dPt>
            <c:idx val="2"/>
            <c:bubble3D val="0"/>
            <c:spPr>
              <a:solidFill>
                <a:srgbClr val="C97B2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AED-49D4-8950-53B3FEBE507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ED-49D4-8950-53B3FEBE507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ED-49D4-8950-53B3FEBE507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ED-49D4-8950-53B3FEBE50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Segments!$B$6:$B$8</c:f>
              <c:strCache>
                <c:ptCount val="3"/>
                <c:pt idx="0">
                  <c:v>Beauty &amp; Personal Care (BPC)</c:v>
                </c:pt>
                <c:pt idx="1">
                  <c:v>Fashion</c:v>
                </c:pt>
                <c:pt idx="2">
                  <c:v>Others</c:v>
                </c:pt>
              </c:strCache>
            </c:strRef>
          </c:cat>
          <c:val>
            <c:numRef>
              <c:f>Segments!$C$6:$C$8</c:f>
              <c:numCache>
                <c:formatCode>0%</c:formatCode>
                <c:ptCount val="3"/>
                <c:pt idx="0">
                  <c:v>0.85</c:v>
                </c:pt>
                <c:pt idx="1">
                  <c:v>0.14000000000000001</c:v>
                </c:pt>
                <c:pt idx="2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ED-49D4-8950-53B3FEBE5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70560</xdr:rowOff>
    </xdr:from>
    <xdr:to>
      <xdr:col>19</xdr:col>
      <xdr:colOff>473040</xdr:colOff>
      <xdr:row>21</xdr:row>
      <xdr:rowOff>1790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70560</xdr:rowOff>
    </xdr:from>
    <xdr:to>
      <xdr:col>17</xdr:col>
      <xdr:colOff>255960</xdr:colOff>
      <xdr:row>21</xdr:row>
      <xdr:rowOff>150430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70560</xdr:rowOff>
    </xdr:from>
    <xdr:to>
      <xdr:col>13</xdr:col>
      <xdr:colOff>147600</xdr:colOff>
      <xdr:row>20</xdr:row>
      <xdr:rowOff>71640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11"/>
  <sheetViews>
    <sheetView showGridLines="0" tabSelected="1" zoomScaleNormal="100" workbookViewId="0">
      <selection activeCell="B11" sqref="B11:G11"/>
    </sheetView>
  </sheetViews>
  <sheetFormatPr defaultColWidth="8.5703125" defaultRowHeight="14.1"/>
  <cols>
    <col min="1" max="1" width="3" style="7" customWidth="1"/>
    <col min="2" max="7" width="14" style="7" customWidth="1"/>
    <col min="8" max="16384" width="8.5703125" style="7"/>
  </cols>
  <sheetData>
    <row r="2" spans="2:7" ht="27.6">
      <c r="B2" s="28" t="s">
        <v>0</v>
      </c>
    </row>
    <row r="3" spans="2:7">
      <c r="B3" s="29" t="s">
        <v>1</v>
      </c>
    </row>
    <row r="5" spans="2:7">
      <c r="B5" s="30" t="s">
        <v>2</v>
      </c>
      <c r="D5" s="31" t="s">
        <v>3</v>
      </c>
    </row>
    <row r="7" spans="2:7" ht="30" customHeight="1">
      <c r="B7" s="33" t="s">
        <v>4</v>
      </c>
      <c r="C7" s="33"/>
      <c r="D7" s="33" t="s">
        <v>5</v>
      </c>
      <c r="E7" s="33"/>
      <c r="F7" s="33" t="s">
        <v>6</v>
      </c>
      <c r="G7" s="33"/>
    </row>
    <row r="8" spans="2:7" ht="34.5" customHeight="1">
      <c r="B8" s="34">
        <f>AVERAGEIF(Actuals!C6:C18,$D$5,Actuals!D6:D18)</f>
        <v>2505.5</v>
      </c>
      <c r="C8" s="34"/>
      <c r="D8" s="35">
        <f>AVERAGEIF(Actuals!C6:C18,$D$5,Actuals!G6:G18)</f>
        <v>7.4281573651187552E-2</v>
      </c>
      <c r="E8" s="35"/>
      <c r="F8" s="34">
        <f>SUMIF(Actuals!C6:C18,$D$5,Actuals!D6:D18)</f>
        <v>10022</v>
      </c>
      <c r="G8" s="34"/>
    </row>
    <row r="9" spans="2:7" ht="14.45" customHeight="1">
      <c r="B9" s="34"/>
      <c r="C9" s="34"/>
      <c r="D9" s="35"/>
      <c r="E9" s="35"/>
      <c r="F9" s="34"/>
      <c r="G9" s="34"/>
    </row>
    <row r="11" spans="2:7">
      <c r="B11" s="36"/>
      <c r="C11" s="36"/>
      <c r="D11" s="36"/>
      <c r="E11" s="36"/>
      <c r="F11" s="36"/>
      <c r="G11" s="36"/>
    </row>
  </sheetData>
  <mergeCells count="7">
    <mergeCell ref="B11:G11"/>
    <mergeCell ref="B7:C7"/>
    <mergeCell ref="D7:E7"/>
    <mergeCell ref="F7:G7"/>
    <mergeCell ref="B8:C9"/>
    <mergeCell ref="D8:E9"/>
    <mergeCell ref="F8:G9"/>
  </mergeCells>
  <dataValidations count="1">
    <dataValidation type="list" sqref="D5" xr:uid="{00000000-0002-0000-0000-000000000000}">
      <formula1>"FY24,FY25,FY26,FY27"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18"/>
  <sheetViews>
    <sheetView showGridLines="0" zoomScaleNormal="100" workbookViewId="0">
      <selection activeCell="E22" sqref="E22"/>
    </sheetView>
  </sheetViews>
  <sheetFormatPr defaultColWidth="8.5703125" defaultRowHeight="14.1"/>
  <cols>
    <col min="1" max="1" width="3" style="7" customWidth="1"/>
    <col min="2" max="3" width="12" style="7" customWidth="1"/>
    <col min="4" max="5" width="15" style="7" customWidth="1"/>
    <col min="6" max="6" width="13" style="7" customWidth="1"/>
    <col min="7" max="7" width="15" style="7" customWidth="1"/>
    <col min="8" max="16384" width="8.5703125" style="7"/>
  </cols>
  <sheetData>
    <row r="2" spans="2:7" ht="24.95">
      <c r="B2" s="6" t="s">
        <v>7</v>
      </c>
    </row>
    <row r="3" spans="2:7">
      <c r="B3" s="32" t="s">
        <v>8</v>
      </c>
    </row>
    <row r="5" spans="2:7"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9" t="s">
        <v>14</v>
      </c>
    </row>
    <row r="6" spans="2:7">
      <c r="B6" s="23" t="s">
        <v>15</v>
      </c>
      <c r="C6" s="23" t="s">
        <v>16</v>
      </c>
      <c r="D6" s="24">
        <v>1422</v>
      </c>
      <c r="E6" s="24">
        <v>1348</v>
      </c>
      <c r="F6" s="11">
        <f t="shared" ref="F6:F18" si="0">D6-E6</f>
        <v>74</v>
      </c>
      <c r="G6" s="18">
        <f t="shared" ref="G6:G18" si="1">F6/D6</f>
        <v>5.2039381153305204E-2</v>
      </c>
    </row>
    <row r="7" spans="2:7">
      <c r="B7" s="25" t="s">
        <v>17</v>
      </c>
      <c r="C7" s="25" t="s">
        <v>16</v>
      </c>
      <c r="D7" s="26">
        <v>1507</v>
      </c>
      <c r="E7" s="26">
        <v>1426</v>
      </c>
      <c r="F7" s="14">
        <f t="shared" si="0"/>
        <v>81</v>
      </c>
      <c r="G7" s="27">
        <f t="shared" si="1"/>
        <v>5.3749170537491703E-2</v>
      </c>
    </row>
    <row r="8" spans="2:7">
      <c r="B8" s="23" t="s">
        <v>18</v>
      </c>
      <c r="C8" s="23" t="s">
        <v>16</v>
      </c>
      <c r="D8" s="24">
        <v>1789</v>
      </c>
      <c r="E8" s="24">
        <v>1690</v>
      </c>
      <c r="F8" s="11">
        <f t="shared" si="0"/>
        <v>99</v>
      </c>
      <c r="G8" s="18">
        <f t="shared" si="1"/>
        <v>5.5338177752934599E-2</v>
      </c>
    </row>
    <row r="9" spans="2:7">
      <c r="B9" s="25" t="s">
        <v>19</v>
      </c>
      <c r="C9" s="25" t="s">
        <v>16</v>
      </c>
      <c r="D9" s="26">
        <v>1668</v>
      </c>
      <c r="E9" s="26">
        <v>1575</v>
      </c>
      <c r="F9" s="14">
        <f t="shared" si="0"/>
        <v>93</v>
      </c>
      <c r="G9" s="27">
        <f t="shared" si="1"/>
        <v>5.5755395683453238E-2</v>
      </c>
    </row>
    <row r="10" spans="2:7">
      <c r="B10" s="23" t="s">
        <v>20</v>
      </c>
      <c r="C10" s="23" t="s">
        <v>21</v>
      </c>
      <c r="D10" s="24">
        <v>1746</v>
      </c>
      <c r="E10" s="24">
        <v>1650</v>
      </c>
      <c r="F10" s="11">
        <f t="shared" si="0"/>
        <v>96</v>
      </c>
      <c r="G10" s="18">
        <f t="shared" si="1"/>
        <v>5.4982817869415807E-2</v>
      </c>
    </row>
    <row r="11" spans="2:7">
      <c r="B11" s="25" t="s">
        <v>22</v>
      </c>
      <c r="C11" s="25" t="s">
        <v>21</v>
      </c>
      <c r="D11" s="26">
        <v>1875</v>
      </c>
      <c r="E11" s="26">
        <v>1771</v>
      </c>
      <c r="F11" s="14">
        <f t="shared" si="0"/>
        <v>104</v>
      </c>
      <c r="G11" s="27">
        <f t="shared" si="1"/>
        <v>5.5466666666666664E-2</v>
      </c>
    </row>
    <row r="12" spans="2:7">
      <c r="B12" s="23" t="s">
        <v>23</v>
      </c>
      <c r="C12" s="23" t="s">
        <v>21</v>
      </c>
      <c r="D12" s="24">
        <v>2267</v>
      </c>
      <c r="E12" s="24">
        <v>2126</v>
      </c>
      <c r="F12" s="11">
        <f t="shared" si="0"/>
        <v>141</v>
      </c>
      <c r="G12" s="18">
        <f t="shared" si="1"/>
        <v>6.2196735774150858E-2</v>
      </c>
    </row>
    <row r="13" spans="2:7">
      <c r="B13" s="25" t="s">
        <v>24</v>
      </c>
      <c r="C13" s="25" t="s">
        <v>21</v>
      </c>
      <c r="D13" s="26">
        <v>2062</v>
      </c>
      <c r="E13" s="26">
        <v>1928</v>
      </c>
      <c r="F13" s="14">
        <f t="shared" si="0"/>
        <v>134</v>
      </c>
      <c r="G13" s="27">
        <f t="shared" si="1"/>
        <v>6.4985451018428717E-2</v>
      </c>
    </row>
    <row r="14" spans="2:7">
      <c r="B14" s="23" t="s">
        <v>25</v>
      </c>
      <c r="C14" s="23" t="s">
        <v>3</v>
      </c>
      <c r="D14" s="24">
        <v>2155</v>
      </c>
      <c r="E14" s="24">
        <v>2014</v>
      </c>
      <c r="F14" s="11">
        <f t="shared" si="0"/>
        <v>141</v>
      </c>
      <c r="G14" s="18">
        <f t="shared" si="1"/>
        <v>6.5429234338747103E-2</v>
      </c>
    </row>
    <row r="15" spans="2:7">
      <c r="B15" s="25" t="s">
        <v>26</v>
      </c>
      <c r="C15" s="25" t="s">
        <v>3</v>
      </c>
      <c r="D15" s="26">
        <v>2346</v>
      </c>
      <c r="E15" s="26">
        <v>2187</v>
      </c>
      <c r="F15" s="14">
        <f t="shared" si="0"/>
        <v>159</v>
      </c>
      <c r="G15" s="27">
        <f t="shared" si="1"/>
        <v>6.7774936061381075E-2</v>
      </c>
    </row>
    <row r="16" spans="2:7">
      <c r="B16" s="23" t="s">
        <v>27</v>
      </c>
      <c r="C16" s="23" t="s">
        <v>3</v>
      </c>
      <c r="D16" s="24">
        <v>2873</v>
      </c>
      <c r="E16" s="24">
        <v>2644</v>
      </c>
      <c r="F16" s="11">
        <f t="shared" si="0"/>
        <v>229</v>
      </c>
      <c r="G16" s="18">
        <f t="shared" si="1"/>
        <v>7.9707622694048033E-2</v>
      </c>
    </row>
    <row r="17" spans="2:7">
      <c r="B17" s="25" t="s">
        <v>28</v>
      </c>
      <c r="C17" s="25" t="s">
        <v>3</v>
      </c>
      <c r="D17" s="26">
        <v>2648</v>
      </c>
      <c r="E17" s="26">
        <v>2425</v>
      </c>
      <c r="F17" s="14">
        <f t="shared" si="0"/>
        <v>223</v>
      </c>
      <c r="G17" s="27">
        <f t="shared" si="1"/>
        <v>8.4214501510574025E-2</v>
      </c>
    </row>
    <row r="18" spans="2:7">
      <c r="B18" s="23" t="s">
        <v>29</v>
      </c>
      <c r="C18" s="23" t="s">
        <v>30</v>
      </c>
      <c r="D18" s="24">
        <v>2782</v>
      </c>
      <c r="E18" s="24">
        <v>2546</v>
      </c>
      <c r="F18" s="11">
        <f t="shared" si="0"/>
        <v>236</v>
      </c>
      <c r="G18" s="18">
        <f t="shared" si="1"/>
        <v>8.4831056793673615E-2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G18"/>
  <sheetViews>
    <sheetView showGridLines="0" zoomScaleNormal="100" workbookViewId="0">
      <selection activeCell="G23" sqref="G23"/>
    </sheetView>
  </sheetViews>
  <sheetFormatPr defaultColWidth="8.5703125" defaultRowHeight="14.1"/>
  <cols>
    <col min="1" max="1" width="3" style="7" customWidth="1"/>
    <col min="2" max="2" width="14" style="7" customWidth="1"/>
    <col min="3" max="3" width="18" style="7" customWidth="1"/>
    <col min="4" max="4" width="16" style="7" customWidth="1"/>
    <col min="5" max="6" width="14" style="7" customWidth="1"/>
    <col min="7" max="7" width="20" style="7" customWidth="1"/>
    <col min="8" max="16384" width="8.5703125" style="7"/>
  </cols>
  <sheetData>
    <row r="2" spans="2:7" ht="24.95">
      <c r="B2" s="6" t="s">
        <v>31</v>
      </c>
    </row>
    <row r="3" spans="2:7">
      <c r="B3" s="32" t="s">
        <v>32</v>
      </c>
    </row>
    <row r="5" spans="2:7" ht="16.5">
      <c r="B5" s="8" t="s">
        <v>33</v>
      </c>
    </row>
    <row r="6" spans="2:7">
      <c r="B6" s="9" t="s">
        <v>9</v>
      </c>
      <c r="C6" s="9" t="s">
        <v>34</v>
      </c>
      <c r="D6" s="9" t="s">
        <v>35</v>
      </c>
      <c r="E6" s="9" t="s">
        <v>36</v>
      </c>
      <c r="F6" s="9" t="s">
        <v>37</v>
      </c>
    </row>
    <row r="7" spans="2:7">
      <c r="B7" s="10" t="s">
        <v>38</v>
      </c>
      <c r="C7" s="11">
        <f>Actuals!D15*0.95</f>
        <v>2228.6999999999998</v>
      </c>
      <c r="D7" s="11">
        <f>Actuals!D15</f>
        <v>2346</v>
      </c>
      <c r="E7" s="11">
        <f>D7-C7</f>
        <v>117.30000000000018</v>
      </c>
      <c r="F7" s="12">
        <f>E7/C7</f>
        <v>5.2631578947368508E-2</v>
      </c>
    </row>
    <row r="8" spans="2:7">
      <c r="B8" s="13" t="s">
        <v>39</v>
      </c>
      <c r="C8" s="14">
        <f>Actuals!D16*0.95</f>
        <v>2729.35</v>
      </c>
      <c r="D8" s="14">
        <f>Actuals!D16</f>
        <v>2873</v>
      </c>
      <c r="E8" s="14">
        <f>D8-C8</f>
        <v>143.65000000000009</v>
      </c>
      <c r="F8" s="15">
        <f>E8/C8</f>
        <v>5.2631578947368453E-2</v>
      </c>
    </row>
    <row r="9" spans="2:7">
      <c r="B9" s="10" t="s">
        <v>40</v>
      </c>
      <c r="C9" s="11">
        <f>Actuals!D17*0.95</f>
        <v>2515.6</v>
      </c>
      <c r="D9" s="11">
        <f>Actuals!D17</f>
        <v>2648</v>
      </c>
      <c r="E9" s="11">
        <f>D9-C9</f>
        <v>132.40000000000009</v>
      </c>
      <c r="F9" s="12">
        <f>E9/C9</f>
        <v>5.263157894736846E-2</v>
      </c>
    </row>
    <row r="10" spans="2:7">
      <c r="B10" s="13" t="s">
        <v>41</v>
      </c>
      <c r="C10" s="14">
        <f>Actuals!D18*0.95</f>
        <v>2642.9</v>
      </c>
      <c r="D10" s="14">
        <f>Actuals!D18</f>
        <v>2782</v>
      </c>
      <c r="E10" s="14">
        <f>D10-C10</f>
        <v>139.09999999999991</v>
      </c>
      <c r="F10" s="15">
        <f>E10/C10</f>
        <v>5.2631578947368383E-2</v>
      </c>
    </row>
    <row r="13" spans="2:7" ht="16.5">
      <c r="B13" s="16" t="s">
        <v>42</v>
      </c>
    </row>
    <row r="14" spans="2:7">
      <c r="B14" s="17" t="s">
        <v>9</v>
      </c>
      <c r="C14" s="17" t="s">
        <v>43</v>
      </c>
      <c r="D14" s="17" t="s">
        <v>44</v>
      </c>
      <c r="E14" s="17" t="s">
        <v>36</v>
      </c>
      <c r="F14" s="17" t="s">
        <v>37</v>
      </c>
      <c r="G14" s="17" t="s">
        <v>45</v>
      </c>
    </row>
    <row r="15" spans="2:7">
      <c r="B15" s="10" t="s">
        <v>38</v>
      </c>
      <c r="C15" s="11">
        <f>C7*0.93</f>
        <v>2072.6909999999998</v>
      </c>
      <c r="D15" s="11">
        <f>Actuals!E15</f>
        <v>2187</v>
      </c>
      <c r="E15" s="11">
        <f>D15-C15</f>
        <v>114.3090000000002</v>
      </c>
      <c r="F15" s="12">
        <f>E15/C15</f>
        <v>5.5150044073139802E-2</v>
      </c>
      <c r="G15" s="18">
        <f>D15/Actuals!D15</f>
        <v>0.93222506393861893</v>
      </c>
    </row>
    <row r="16" spans="2:7">
      <c r="B16" s="19" t="s">
        <v>39</v>
      </c>
      <c r="C16" s="20">
        <f>C8*0.93</f>
        <v>2538.2955000000002</v>
      </c>
      <c r="D16" s="20">
        <f>Actuals!E16</f>
        <v>2644</v>
      </c>
      <c r="E16" s="20">
        <f>D16-C16</f>
        <v>105.70449999999983</v>
      </c>
      <c r="F16" s="21">
        <f>E16/C16</f>
        <v>4.1643890555689761E-2</v>
      </c>
      <c r="G16" s="22">
        <f>D16/Actuals!D16</f>
        <v>0.92029237730595193</v>
      </c>
    </row>
    <row r="17" spans="2:7">
      <c r="B17" s="10" t="s">
        <v>40</v>
      </c>
      <c r="C17" s="11">
        <f>C9*0.93</f>
        <v>2339.5079999999998</v>
      </c>
      <c r="D17" s="11">
        <f>Actuals!E17</f>
        <v>2425</v>
      </c>
      <c r="E17" s="11">
        <f>D17-C17</f>
        <v>85.492000000000189</v>
      </c>
      <c r="F17" s="12">
        <f>E17/C17</f>
        <v>3.6542726077448844E-2</v>
      </c>
      <c r="G17" s="18">
        <f>D17/Actuals!D17</f>
        <v>0.91578549848942603</v>
      </c>
    </row>
    <row r="18" spans="2:7">
      <c r="B18" s="19" t="s">
        <v>41</v>
      </c>
      <c r="C18" s="20">
        <f>C10*0.93</f>
        <v>2457.8970000000004</v>
      </c>
      <c r="D18" s="20">
        <f>Actuals!E18</f>
        <v>2546</v>
      </c>
      <c r="E18" s="20">
        <f>D18-C18</f>
        <v>88.102999999999611</v>
      </c>
      <c r="F18" s="21">
        <f>E18/C18</f>
        <v>3.5844870635343792E-2</v>
      </c>
      <c r="G18" s="22">
        <f>D18/Actuals!D18</f>
        <v>0.91516894320632636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C8"/>
  <sheetViews>
    <sheetView showGridLines="0" zoomScaleNormal="100" workbookViewId="0"/>
  </sheetViews>
  <sheetFormatPr defaultColWidth="8.5703125" defaultRowHeight="14.45"/>
  <cols>
    <col min="1" max="1" width="3" customWidth="1"/>
    <col min="2" max="2" width="30" customWidth="1"/>
    <col min="3" max="3" width="18" customWidth="1"/>
  </cols>
  <sheetData>
    <row r="2" spans="2:3" ht="26.1">
      <c r="B2" s="2" t="s">
        <v>46</v>
      </c>
    </row>
    <row r="3" spans="2:3">
      <c r="B3" s="1" t="s">
        <v>47</v>
      </c>
    </row>
    <row r="5" spans="2:3">
      <c r="B5" s="3" t="s">
        <v>48</v>
      </c>
      <c r="C5" s="3" t="s">
        <v>49</v>
      </c>
    </row>
    <row r="6" spans="2:3">
      <c r="B6" s="4" t="s">
        <v>50</v>
      </c>
      <c r="C6" s="5">
        <v>0.85</v>
      </c>
    </row>
    <row r="7" spans="2:3">
      <c r="B7" s="4" t="s">
        <v>51</v>
      </c>
      <c r="C7" s="5">
        <v>0.14000000000000001</v>
      </c>
    </row>
    <row r="8" spans="2:3">
      <c r="B8" s="4" t="s">
        <v>52</v>
      </c>
      <c r="C8" s="5">
        <v>0.01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2026-09-06T05:31:10Z</dcterms:created>
  <dcterms:modified xsi:type="dcterms:W3CDTF">2026-09-06T05:46:08Z</dcterms:modified>
  <cp:category/>
  <cp:contentStatus/>
</cp:coreProperties>
</file>